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fs61oo/Documents/GitHub/rohderunning/data/"/>
    </mc:Choice>
  </mc:AlternateContent>
  <xr:revisionPtr revIDLastSave="0" documentId="13_ncr:1_{00EC04F6-3982-4849-AC53-69BD6ECA2E58}" xr6:coauthVersionLast="47" xr6:coauthVersionMax="47" xr10:uidLastSave="{00000000-0000-0000-0000-000000000000}"/>
  <bookViews>
    <workbookView xWindow="5040" yWindow="1800" windowWidth="41120" windowHeight="25800" activeTab="1" xr2:uid="{00000000-000D-0000-FFFF-FFFF00000000}"/>
  </bookViews>
  <sheets>
    <sheet name="Generelle plan" sheetId="1" r:id="rId1"/>
    <sheet name="Ugeplan" sheetId="2" r:id="rId2"/>
    <sheet name="no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2" i="2"/>
  <c r="H23" i="2"/>
  <c r="H20" i="2"/>
  <c r="H14" i="2"/>
  <c r="H5" i="2"/>
  <c r="H17" i="2" l="1"/>
  <c r="H8" i="2"/>
</calcChain>
</file>

<file path=xl/sharedStrings.xml><?xml version="1.0" encoding="utf-8"?>
<sst xmlns="http://schemas.openxmlformats.org/spreadsheetml/2006/main" count="347" uniqueCount="120">
  <si>
    <t>Uge</t>
  </si>
  <si>
    <t>Startdato</t>
  </si>
  <si>
    <t>Fase</t>
  </si>
  <si>
    <t>Planlagt km</t>
  </si>
  <si>
    <t>Noter</t>
  </si>
  <si>
    <t>Opbygning</t>
  </si>
  <si>
    <t>Tempo 20 km (10 km Z4)</t>
  </si>
  <si>
    <t>Z4</t>
  </si>
  <si>
    <t>155-166</t>
  </si>
  <si>
    <t>Steady 16 km (Z3)</t>
  </si>
  <si>
    <t>Z3</t>
  </si>
  <si>
    <t>142-154</t>
  </si>
  <si>
    <t>Tempo 22 km (12 km Z4)</t>
  </si>
  <si>
    <t>Steady 18 km (Z3)</t>
  </si>
  <si>
    <t>Progression 24 km (slut Z4)</t>
  </si>
  <si>
    <t>Fueling test</t>
  </si>
  <si>
    <t>Race simulation</t>
  </si>
  <si>
    <t>Let tempo 10 km (Z3)</t>
  </si>
  <si>
    <t>Rolig 12 km (Z2)</t>
  </si>
  <si>
    <t>Z2</t>
  </si>
  <si>
    <t>130-141</t>
  </si>
  <si>
    <t>Kroatien - lav belastning</t>
  </si>
  <si>
    <t>100 miles race</t>
  </si>
  <si>
    <t>Strides</t>
  </si>
  <si>
    <t>Easy runs</t>
  </si>
  <si>
    <t>Race week</t>
  </si>
  <si>
    <t>Long 12 km</t>
  </si>
  <si>
    <t>Short runs</t>
  </si>
  <si>
    <t>Taper</t>
  </si>
  <si>
    <t>Short tempo 10 km</t>
  </si>
  <si>
    <t>Easy steady</t>
  </si>
  <si>
    <t>Short tempo 14 km</t>
  </si>
  <si>
    <t>Exercise</t>
  </si>
  <si>
    <t>Sets</t>
  </si>
  <si>
    <t>Reps</t>
  </si>
  <si>
    <t>Notes</t>
  </si>
  <si>
    <t>Single-leg Romanian deadlift</t>
  </si>
  <si>
    <t>3</t>
  </si>
  <si>
    <t>8-10 / leg</t>
  </si>
  <si>
    <t>Bulgarian split squat</t>
  </si>
  <si>
    <t>8 / leg</t>
  </si>
  <si>
    <t>Monster walk</t>
  </si>
  <si>
    <t>20 steps</t>
  </si>
  <si>
    <t>Elastic band</t>
  </si>
  <si>
    <t>Side plank + leg lift</t>
  </si>
  <si>
    <t>30 sec</t>
  </si>
  <si>
    <t>Core + glute medius</t>
  </si>
  <si>
    <t>Kettlebell swings</t>
  </si>
  <si>
    <t>15-20</t>
  </si>
  <si>
    <t>Duration</t>
  </si>
  <si>
    <t>Purpose</t>
  </si>
  <si>
    <t>Hip flexor stretch</t>
  </si>
  <si>
    <t>60 sec</t>
  </si>
  <si>
    <t>Counter sitting + stride length</t>
  </si>
  <si>
    <t>Glute stretch</t>
  </si>
  <si>
    <t>Reduce hip tension</t>
  </si>
  <si>
    <t>Hamstring mobility</t>
  </si>
  <si>
    <t>Posterior chain recovery</t>
  </si>
  <si>
    <t>Piriformis stretch</t>
  </si>
  <si>
    <t>Hip stability</t>
  </si>
  <si>
    <t>Dynamic leg swings</t>
  </si>
  <si>
    <t>20 reps</t>
  </si>
  <si>
    <t>Pre-run activation</t>
  </si>
  <si>
    <t>Long 30-40 km</t>
  </si>
  <si>
    <t>B2B 40+25 km</t>
  </si>
  <si>
    <t>Lang 20-25 km</t>
  </si>
  <si>
    <t>Fast finish</t>
  </si>
  <si>
    <t>Ja (sidste 25% Z3→Z4)</t>
  </si>
  <si>
    <t>Nej</t>
  </si>
  <si>
    <t>Testløb 70-80 km (aldrig over Z3)</t>
  </si>
  <si>
    <t>Testløb 50-60 km (aldrig over Z3)</t>
  </si>
  <si>
    <t>Recovery</t>
  </si>
  <si>
    <t>Steady 12 km (Z3)</t>
  </si>
  <si>
    <t>Long 22-26 km</t>
  </si>
  <si>
    <t>Long 18–22 km</t>
  </si>
  <si>
    <t>Progression 16 km (slut Z3)</t>
  </si>
  <si>
    <t>Base</t>
  </si>
  <si>
    <t>Opbygning |Test løb</t>
  </si>
  <si>
    <t>Specifik</t>
  </si>
  <si>
    <t>Specifik | Test løb</t>
  </si>
  <si>
    <t>Ferie | Peak</t>
  </si>
  <si>
    <t>Slow eccentric, 12kg kettlebell</t>
  </si>
  <si>
    <t>Kettlebell, 16-20 kg</t>
  </si>
  <si>
    <t>Explosive hip drive, 20+kg kettlebel</t>
  </si>
  <si>
    <t>Dag</t>
  </si>
  <si>
    <t>Plan km</t>
  </si>
  <si>
    <t>Faktisk km</t>
  </si>
  <si>
    <t>Type</t>
  </si>
  <si>
    <t>Note</t>
  </si>
  <si>
    <t>Uge mål (km)</t>
  </si>
  <si>
    <t>Mandag</t>
  </si>
  <si>
    <t>Tirsdag</t>
  </si>
  <si>
    <t>Onsdag</t>
  </si>
  <si>
    <t>Torsdag</t>
  </si>
  <si>
    <t>Fredag</t>
  </si>
  <si>
    <t>Lørdag</t>
  </si>
  <si>
    <t>Easy km behov</t>
  </si>
  <si>
    <t>Søndag</t>
  </si>
  <si>
    <t>Planlagt total</t>
  </si>
  <si>
    <t>Faktisk total</t>
  </si>
  <si>
    <t>Long</t>
  </si>
  <si>
    <t>Key1</t>
  </si>
  <si>
    <t>Key2</t>
  </si>
  <si>
    <t>Status</t>
  </si>
  <si>
    <t>Styrke pas</t>
  </si>
  <si>
    <t>Mobilitet pas</t>
  </si>
  <si>
    <t>Styrke</t>
  </si>
  <si>
    <t>Mobilitet</t>
  </si>
  <si>
    <t>Kvalitets km</t>
  </si>
  <si>
    <t>Ja</t>
  </si>
  <si>
    <t>Easy</t>
  </si>
  <si>
    <t>KS1</t>
  </si>
  <si>
    <t>Zone KS1</t>
  </si>
  <si>
    <t>BPM KS1</t>
  </si>
  <si>
    <t>KS2</t>
  </si>
  <si>
    <t>Zone KS2</t>
  </si>
  <si>
    <t>BPM KS2</t>
  </si>
  <si>
    <t>Zone Long</t>
  </si>
  <si>
    <t>BPM Long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</si>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</sst>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4" fontId="0" fillId="4" borderId="0" xfId="0" applyNumberFormat="1" applyFill="1"/>
    <xf numFmtId="14" fontId="0" fillId="0" borderId="0" xfId="0" applyNumberFormat="1"/>
    <xf numFmtId="14" fontId="0" fillId="3" borderId="0" xfId="0" applyNumberFormat="1" applyFill="1"/>
    <xf numFmtId="14" fontId="0" fillId="5" borderId="0" xfId="0" applyNumberFormat="1" applyFill="1"/>
    <xf numFmtId="14" fontId="0" fillId="6" borderId="0" xfId="0" applyNumberFormat="1" applyFill="1"/>
    <xf numFmtId="14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571500</xdr:colOff>
      <xdr:row>24</xdr:row>
      <xdr:rowOff>9072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B5889B-EE95-0448-AC6F-930802393285}"/>
            </a:ext>
          </a:extLst>
        </xdr:cNvPr>
        <xdr:cNvSpPr txBox="1"/>
      </xdr:nvSpPr>
      <xdr:spPr>
        <a:xfrm>
          <a:off x="0" y="0"/>
          <a:ext cx="2222500" cy="4581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DK"/>
            <a:t>🟢 </a:t>
          </a:r>
          <a:r>
            <a:rPr lang="en-GB"/>
            <a:t>Easy / mængdetur</a:t>
          </a:r>
        </a:p>
        <a:p>
          <a:r>
            <a:rPr lang="en-GB"/>
            <a:t>• Puls: Z2 (130–145 bpm)</a:t>
          </a:r>
        </a:p>
        <a:p>
          <a:r>
            <a:rPr lang="en-GB"/>
            <a:t>• Følelse: let, afslappet</a:t>
          </a:r>
        </a:p>
        <a:p>
          <a:r>
            <a:rPr lang="en-GB"/>
            <a:t>• Formål: volumen og restitution</a:t>
          </a:r>
          <a:br>
            <a:rPr lang="en-GB"/>
          </a:br>
          <a:endParaRPr lang="en-GB"/>
        </a:p>
        <a:p>
          <a:r>
            <a:rPr lang="en-DK"/>
            <a:t>🔵 </a:t>
          </a:r>
          <a:r>
            <a:rPr lang="en-GB"/>
            <a:t>Recovery</a:t>
          </a:r>
        </a:p>
        <a:p>
          <a:r>
            <a:rPr lang="en-GB"/>
            <a:t>• Puls: Z1–lav Z2 (&lt;135 bpm)</a:t>
          </a:r>
        </a:p>
        <a:p>
          <a:r>
            <a:rPr lang="en-GB"/>
            <a:t>• Følelse: meget let</a:t>
          </a:r>
        </a:p>
        <a:p>
          <a:r>
            <a:rPr lang="en-GB"/>
            <a:t>• Formål: restitution</a:t>
          </a:r>
        </a:p>
        <a:p>
          <a:endParaRPr lang="en-GB"/>
        </a:p>
        <a:p>
          <a:r>
            <a:rPr lang="en-DK"/>
            <a:t>🔴 </a:t>
          </a:r>
          <a:r>
            <a:rPr lang="en-GB"/>
            <a:t>Tempo (fx 20 km inkl 10 km)</a:t>
          </a:r>
        </a:p>
        <a:p>
          <a:r>
            <a:rPr lang="en-GB"/>
            <a:t>• Start: Z2 (opvarmning)</a:t>
          </a:r>
        </a:p>
        <a:p>
          <a:r>
            <a:rPr lang="en-GB"/>
            <a:t>• Midt/slut: Z4 (155–165 bpm)</a:t>
          </a:r>
        </a:p>
        <a:p>
          <a:r>
            <a:rPr lang="en-GB"/>
            <a:t>• Formål: løbeøkonomi + fart</a:t>
          </a:r>
          <a:br>
            <a:rPr lang="en-GB"/>
          </a:br>
          <a:endParaRPr lang="en-GB"/>
        </a:p>
        <a:p>
          <a:r>
            <a:rPr lang="en-DK"/>
            <a:t>🟣 </a:t>
          </a:r>
          <a:r>
            <a:rPr lang="en-GB"/>
            <a:t>Progression</a:t>
          </a:r>
        </a:p>
        <a:p>
          <a:r>
            <a:rPr lang="en-GB"/>
            <a:t>• Start: Z2</a:t>
          </a:r>
        </a:p>
        <a:p>
          <a:r>
            <a:rPr lang="en-GB"/>
            <a:t>• Midt: Z3</a:t>
          </a:r>
        </a:p>
        <a:p>
          <a:r>
            <a:rPr lang="en-GB"/>
            <a:t>• Slut: Z4</a:t>
          </a:r>
        </a:p>
        <a:p>
          <a:r>
            <a:rPr lang="en-GB"/>
            <a:t>• Formål: arbejde på trætte ben</a:t>
          </a:r>
        </a:p>
        <a:p>
          <a:endParaRPr lang="en-GB"/>
        </a:p>
        <a:p>
          <a:r>
            <a:rPr lang="en-DK"/>
            <a:t>🟡 </a:t>
          </a:r>
          <a:r>
            <a:rPr lang="en-GB"/>
            <a:t>Steady / medium</a:t>
          </a:r>
        </a:p>
        <a:p>
          <a:r>
            <a:rPr lang="en-GB"/>
            <a:t>• Hele turen: Z3 (142–153 bpm)</a:t>
          </a:r>
        </a:p>
        <a:p>
          <a:r>
            <a:rPr lang="en-GB"/>
            <a:t>• Stabil indsats (ingen spikes)</a:t>
          </a:r>
        </a:p>
        <a:p>
          <a:r>
            <a:rPr lang="en-GB"/>
            <a:t>• Formål: aerob styrke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="140" zoomScaleNormal="140" workbookViewId="0">
      <selection activeCell="D7" sqref="D7"/>
    </sheetView>
  </sheetViews>
  <sheetFormatPr baseColWidth="10" defaultColWidth="8.83203125" defaultRowHeight="15" x14ac:dyDescent="0.2"/>
  <cols>
    <col min="1" max="1" width="4.1640625" bestFit="1" customWidth="1"/>
    <col min="2" max="2" width="10.5" bestFit="1" customWidth="1"/>
    <col min="3" max="3" width="16" bestFit="1" customWidth="1"/>
    <col min="4" max="4" width="15.83203125" style="2" bestFit="1" customWidth="1"/>
    <col min="5" max="5" width="21.6640625" bestFit="1" customWidth="1"/>
    <col min="6" max="7" width="8.83203125" style="2"/>
    <col min="8" max="8" width="17.5" bestFit="1" customWidth="1"/>
    <col min="9" max="10" width="8.83203125" style="2"/>
    <col min="11" max="11" width="18.83203125" bestFit="1" customWidth="1"/>
    <col min="12" max="13" width="8.83203125" style="2"/>
    <col min="14" max="14" width="17.83203125" style="2" bestFit="1" customWidth="1"/>
    <col min="15" max="15" width="19.33203125" bestFit="1" customWidth="1"/>
    <col min="16" max="16" width="22.83203125" bestFit="1" customWidth="1"/>
    <col min="17" max="17" width="8" bestFit="1" customWidth="1"/>
    <col min="18" max="18" width="23.83203125" bestFit="1" customWidth="1"/>
    <col min="19" max="19" width="15.83203125" bestFit="1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111</v>
      </c>
      <c r="F1" s="5" t="s">
        <v>112</v>
      </c>
      <c r="G1" s="5" t="s">
        <v>113</v>
      </c>
      <c r="H1" s="4" t="s">
        <v>114</v>
      </c>
      <c r="I1" s="5" t="s">
        <v>115</v>
      </c>
      <c r="J1" s="5" t="s">
        <v>116</v>
      </c>
      <c r="K1" s="4" t="s">
        <v>100</v>
      </c>
      <c r="L1" s="5" t="s">
        <v>117</v>
      </c>
      <c r="M1" s="5" t="s">
        <v>118</v>
      </c>
      <c r="N1" s="4" t="s">
        <v>66</v>
      </c>
      <c r="O1" s="4" t="s">
        <v>4</v>
      </c>
    </row>
    <row r="2" spans="1:15" x14ac:dyDescent="0.2">
      <c r="A2" s="8">
        <v>15</v>
      </c>
      <c r="B2" s="16">
        <v>46118</v>
      </c>
      <c r="C2" s="8" t="s">
        <v>76</v>
      </c>
      <c r="D2" s="9">
        <v>120</v>
      </c>
      <c r="E2" s="8" t="s">
        <v>6</v>
      </c>
      <c r="F2" s="9" t="s">
        <v>7</v>
      </c>
      <c r="G2" s="9" t="s">
        <v>8</v>
      </c>
      <c r="H2" s="8" t="s">
        <v>9</v>
      </c>
      <c r="I2" s="9" t="s">
        <v>10</v>
      </c>
      <c r="J2" s="9" t="s">
        <v>11</v>
      </c>
      <c r="K2" s="8" t="s">
        <v>63</v>
      </c>
      <c r="L2" s="9" t="s">
        <v>10</v>
      </c>
      <c r="M2" s="9" t="s">
        <v>11</v>
      </c>
      <c r="N2" s="8" t="s">
        <v>67</v>
      </c>
      <c r="O2" s="8"/>
    </row>
    <row r="3" spans="1:15" x14ac:dyDescent="0.2">
      <c r="A3" s="8">
        <v>16</v>
      </c>
      <c r="B3" s="16">
        <v>46125</v>
      </c>
      <c r="C3" s="8" t="s">
        <v>76</v>
      </c>
      <c r="D3" s="9">
        <v>130</v>
      </c>
      <c r="E3" s="8" t="s">
        <v>12</v>
      </c>
      <c r="F3" s="9" t="s">
        <v>7</v>
      </c>
      <c r="G3" s="9" t="s">
        <v>8</v>
      </c>
      <c r="H3" s="8" t="s">
        <v>13</v>
      </c>
      <c r="I3" s="9" t="s">
        <v>10</v>
      </c>
      <c r="J3" s="9" t="s">
        <v>11</v>
      </c>
      <c r="K3" s="8" t="s">
        <v>63</v>
      </c>
      <c r="L3" s="9" t="s">
        <v>10</v>
      </c>
      <c r="M3" s="9" t="s">
        <v>11</v>
      </c>
      <c r="N3" s="8" t="s">
        <v>68</v>
      </c>
      <c r="O3" s="8"/>
    </row>
    <row r="4" spans="1:15" x14ac:dyDescent="0.2">
      <c r="A4" s="8">
        <v>17</v>
      </c>
      <c r="B4" s="16">
        <v>46132</v>
      </c>
      <c r="C4" s="8" t="s">
        <v>76</v>
      </c>
      <c r="D4" s="9">
        <v>140</v>
      </c>
      <c r="E4" s="8" t="s">
        <v>14</v>
      </c>
      <c r="F4" s="9" t="s">
        <v>7</v>
      </c>
      <c r="G4" s="9" t="s">
        <v>8</v>
      </c>
      <c r="H4" s="8" t="s">
        <v>9</v>
      </c>
      <c r="I4" s="9" t="s">
        <v>10</v>
      </c>
      <c r="J4" s="9" t="s">
        <v>11</v>
      </c>
      <c r="K4" s="8" t="s">
        <v>64</v>
      </c>
      <c r="L4" s="9" t="s">
        <v>10</v>
      </c>
      <c r="M4" s="9" t="s">
        <v>11</v>
      </c>
      <c r="N4" s="8" t="s">
        <v>68</v>
      </c>
      <c r="O4" s="8"/>
    </row>
    <row r="5" spans="1:15" x14ac:dyDescent="0.2">
      <c r="A5" s="8">
        <v>18</v>
      </c>
      <c r="B5" s="16">
        <v>46139</v>
      </c>
      <c r="C5" s="8" t="s">
        <v>76</v>
      </c>
      <c r="D5" s="9">
        <v>150</v>
      </c>
      <c r="E5" s="8" t="s">
        <v>6</v>
      </c>
      <c r="F5" s="9" t="s">
        <v>7</v>
      </c>
      <c r="G5" s="9" t="s">
        <v>8</v>
      </c>
      <c r="H5" s="8" t="s">
        <v>13</v>
      </c>
      <c r="I5" s="9" t="s">
        <v>10</v>
      </c>
      <c r="J5" s="9" t="s">
        <v>11</v>
      </c>
      <c r="K5" s="8" t="s">
        <v>63</v>
      </c>
      <c r="L5" s="9" t="s">
        <v>10</v>
      </c>
      <c r="M5" s="9" t="s">
        <v>11</v>
      </c>
      <c r="N5" s="8" t="s">
        <v>67</v>
      </c>
      <c r="O5" s="8"/>
    </row>
    <row r="6" spans="1:15" x14ac:dyDescent="0.2">
      <c r="A6">
        <v>19</v>
      </c>
      <c r="B6" s="17">
        <v>46146</v>
      </c>
      <c r="C6" t="s">
        <v>71</v>
      </c>
      <c r="D6" s="2">
        <v>105</v>
      </c>
      <c r="E6" t="s">
        <v>75</v>
      </c>
      <c r="F6" s="2" t="s">
        <v>10</v>
      </c>
      <c r="G6" s="2" t="s">
        <v>8</v>
      </c>
      <c r="H6" t="s">
        <v>72</v>
      </c>
      <c r="I6" s="2" t="s">
        <v>10</v>
      </c>
      <c r="J6" s="2" t="s">
        <v>11</v>
      </c>
      <c r="K6" s="3" t="s">
        <v>73</v>
      </c>
      <c r="L6" s="2" t="s">
        <v>19</v>
      </c>
      <c r="M6" s="2" t="s">
        <v>20</v>
      </c>
      <c r="N6" t="s">
        <v>68</v>
      </c>
    </row>
    <row r="7" spans="1:15" x14ac:dyDescent="0.2">
      <c r="A7" s="6">
        <v>20</v>
      </c>
      <c r="B7" s="18">
        <v>46153</v>
      </c>
      <c r="C7" s="6" t="s">
        <v>5</v>
      </c>
      <c r="D7" s="7">
        <v>135</v>
      </c>
      <c r="E7" s="6" t="s">
        <v>14</v>
      </c>
      <c r="F7" s="7" t="s">
        <v>7</v>
      </c>
      <c r="G7" s="7" t="s">
        <v>8</v>
      </c>
      <c r="H7" s="6" t="s">
        <v>13</v>
      </c>
      <c r="I7" s="7" t="s">
        <v>10</v>
      </c>
      <c r="J7" s="7" t="s">
        <v>11</v>
      </c>
      <c r="K7" s="6" t="s">
        <v>64</v>
      </c>
      <c r="L7" s="7" t="s">
        <v>10</v>
      </c>
      <c r="M7" s="7" t="s">
        <v>11</v>
      </c>
      <c r="N7" s="6" t="s">
        <v>68</v>
      </c>
      <c r="O7" s="6"/>
    </row>
    <row r="8" spans="1:15" x14ac:dyDescent="0.2">
      <c r="A8" s="6">
        <v>21</v>
      </c>
      <c r="B8" s="18">
        <v>46160</v>
      </c>
      <c r="C8" s="6" t="s">
        <v>77</v>
      </c>
      <c r="D8" s="7">
        <v>145</v>
      </c>
      <c r="E8" s="6" t="s">
        <v>6</v>
      </c>
      <c r="F8" s="7" t="s">
        <v>7</v>
      </c>
      <c r="G8" s="7" t="s">
        <v>8</v>
      </c>
      <c r="H8" s="6" t="s">
        <v>9</v>
      </c>
      <c r="I8" s="7" t="s">
        <v>10</v>
      </c>
      <c r="J8" s="7" t="s">
        <v>11</v>
      </c>
      <c r="K8" s="6" t="s">
        <v>70</v>
      </c>
      <c r="L8" s="7" t="s">
        <v>10</v>
      </c>
      <c r="M8" s="7" t="s">
        <v>11</v>
      </c>
      <c r="N8" s="6" t="s">
        <v>68</v>
      </c>
      <c r="O8" s="6" t="s">
        <v>15</v>
      </c>
    </row>
    <row r="9" spans="1:15" x14ac:dyDescent="0.2">
      <c r="A9" s="6">
        <v>22</v>
      </c>
      <c r="B9" s="18">
        <v>46167</v>
      </c>
      <c r="C9" s="6" t="s">
        <v>5</v>
      </c>
      <c r="D9" s="7">
        <v>150</v>
      </c>
      <c r="E9" s="6" t="s">
        <v>12</v>
      </c>
      <c r="F9" s="7" t="s">
        <v>7</v>
      </c>
      <c r="G9" s="7" t="s">
        <v>8</v>
      </c>
      <c r="H9" s="6" t="s">
        <v>13</v>
      </c>
      <c r="I9" s="7" t="s">
        <v>10</v>
      </c>
      <c r="J9" s="7" t="s">
        <v>11</v>
      </c>
      <c r="K9" s="6" t="s">
        <v>63</v>
      </c>
      <c r="L9" s="7" t="s">
        <v>10</v>
      </c>
      <c r="M9" s="7" t="s">
        <v>11</v>
      </c>
      <c r="N9" s="6" t="s">
        <v>68</v>
      </c>
      <c r="O9" s="6"/>
    </row>
    <row r="10" spans="1:15" x14ac:dyDescent="0.2">
      <c r="A10" s="6">
        <v>23</v>
      </c>
      <c r="B10" s="18">
        <v>46174</v>
      </c>
      <c r="C10" s="6" t="s">
        <v>5</v>
      </c>
      <c r="D10" s="7">
        <v>140</v>
      </c>
      <c r="E10" s="6" t="s">
        <v>14</v>
      </c>
      <c r="F10" s="7" t="s">
        <v>7</v>
      </c>
      <c r="G10" s="7" t="s">
        <v>8</v>
      </c>
      <c r="H10" s="6" t="s">
        <v>9</v>
      </c>
      <c r="I10" s="7" t="s">
        <v>10</v>
      </c>
      <c r="J10" s="7" t="s">
        <v>11</v>
      </c>
      <c r="K10" s="6" t="s">
        <v>64</v>
      </c>
      <c r="L10" s="7" t="s">
        <v>10</v>
      </c>
      <c r="M10" s="7" t="s">
        <v>11</v>
      </c>
      <c r="N10" s="6" t="s">
        <v>68</v>
      </c>
      <c r="O10" s="6"/>
    </row>
    <row r="11" spans="1:15" x14ac:dyDescent="0.2">
      <c r="A11">
        <v>24</v>
      </c>
      <c r="B11" s="17">
        <v>46181</v>
      </c>
      <c r="C11" t="s">
        <v>71</v>
      </c>
      <c r="D11" s="2">
        <v>110</v>
      </c>
      <c r="E11" t="s">
        <v>75</v>
      </c>
      <c r="F11" s="2" t="s">
        <v>10</v>
      </c>
      <c r="G11" s="2" t="s">
        <v>8</v>
      </c>
      <c r="H11" t="s">
        <v>72</v>
      </c>
      <c r="I11" s="2" t="s">
        <v>10</v>
      </c>
      <c r="J11" s="2" t="s">
        <v>11</v>
      </c>
      <c r="K11" s="3" t="s">
        <v>73</v>
      </c>
      <c r="L11" s="2" t="s">
        <v>19</v>
      </c>
      <c r="M11" s="2" t="s">
        <v>20</v>
      </c>
      <c r="N11" t="s">
        <v>68</v>
      </c>
    </row>
    <row r="12" spans="1:15" x14ac:dyDescent="0.2">
      <c r="A12" s="10">
        <v>25</v>
      </c>
      <c r="B12" s="19">
        <v>46188</v>
      </c>
      <c r="C12" s="10" t="s">
        <v>78</v>
      </c>
      <c r="D12" s="11">
        <v>145</v>
      </c>
      <c r="E12" s="10" t="s">
        <v>12</v>
      </c>
      <c r="F12" s="11" t="s">
        <v>7</v>
      </c>
      <c r="G12" s="11" t="s">
        <v>8</v>
      </c>
      <c r="H12" s="10" t="s">
        <v>9</v>
      </c>
      <c r="I12" s="11" t="s">
        <v>10</v>
      </c>
      <c r="J12" s="11" t="s">
        <v>11</v>
      </c>
      <c r="K12" s="10" t="s">
        <v>63</v>
      </c>
      <c r="L12" s="11" t="s">
        <v>10</v>
      </c>
      <c r="M12" s="11" t="s">
        <v>11</v>
      </c>
      <c r="N12" s="10" t="s">
        <v>67</v>
      </c>
      <c r="O12" s="10"/>
    </row>
    <row r="13" spans="1:15" x14ac:dyDescent="0.2">
      <c r="A13" s="10">
        <v>26</v>
      </c>
      <c r="B13" s="19">
        <v>46195</v>
      </c>
      <c r="C13" s="10" t="s">
        <v>78</v>
      </c>
      <c r="D13" s="11">
        <v>155</v>
      </c>
      <c r="E13" s="10" t="s">
        <v>14</v>
      </c>
      <c r="F13" s="11" t="s">
        <v>7</v>
      </c>
      <c r="G13" s="11" t="s">
        <v>8</v>
      </c>
      <c r="H13" s="10" t="s">
        <v>13</v>
      </c>
      <c r="I13" s="11" t="s">
        <v>10</v>
      </c>
      <c r="J13" s="11" t="s">
        <v>11</v>
      </c>
      <c r="K13" s="10" t="s">
        <v>64</v>
      </c>
      <c r="L13" s="11" t="s">
        <v>10</v>
      </c>
      <c r="M13" s="11" t="s">
        <v>11</v>
      </c>
      <c r="N13" s="10" t="s">
        <v>68</v>
      </c>
      <c r="O13" s="10"/>
    </row>
    <row r="14" spans="1:15" x14ac:dyDescent="0.2">
      <c r="A14" s="10">
        <v>27</v>
      </c>
      <c r="B14" s="19">
        <v>46202</v>
      </c>
      <c r="C14" s="10" t="s">
        <v>79</v>
      </c>
      <c r="D14" s="11">
        <v>150</v>
      </c>
      <c r="E14" s="10" t="s">
        <v>6</v>
      </c>
      <c r="F14" s="11" t="s">
        <v>7</v>
      </c>
      <c r="G14" s="11" t="s">
        <v>8</v>
      </c>
      <c r="H14" s="10" t="s">
        <v>9</v>
      </c>
      <c r="I14" s="11" t="s">
        <v>10</v>
      </c>
      <c r="J14" s="11" t="s">
        <v>11</v>
      </c>
      <c r="K14" s="10" t="s">
        <v>69</v>
      </c>
      <c r="L14" s="11" t="s">
        <v>10</v>
      </c>
      <c r="M14" s="11" t="s">
        <v>11</v>
      </c>
      <c r="N14" s="10" t="s">
        <v>68</v>
      </c>
      <c r="O14" s="10" t="s">
        <v>16</v>
      </c>
    </row>
    <row r="15" spans="1:15" x14ac:dyDescent="0.2">
      <c r="A15" s="10">
        <v>28</v>
      </c>
      <c r="B15" s="19">
        <v>46209</v>
      </c>
      <c r="C15" s="10" t="s">
        <v>78</v>
      </c>
      <c r="D15" s="11">
        <v>140</v>
      </c>
      <c r="E15" s="10" t="s">
        <v>12</v>
      </c>
      <c r="F15" s="11" t="s">
        <v>7</v>
      </c>
      <c r="G15" s="11" t="s">
        <v>8</v>
      </c>
      <c r="H15" s="10" t="s">
        <v>13</v>
      </c>
      <c r="I15" s="11" t="s">
        <v>10</v>
      </c>
      <c r="J15" s="11" t="s">
        <v>11</v>
      </c>
      <c r="K15" s="10" t="s">
        <v>63</v>
      </c>
      <c r="L15" s="11" t="s">
        <v>10</v>
      </c>
      <c r="M15" s="11" t="s">
        <v>11</v>
      </c>
      <c r="N15" s="10" t="s">
        <v>67</v>
      </c>
      <c r="O15" s="10"/>
    </row>
    <row r="16" spans="1:15" x14ac:dyDescent="0.2">
      <c r="A16">
        <v>29</v>
      </c>
      <c r="B16" s="17">
        <v>46216</v>
      </c>
      <c r="C16" t="s">
        <v>71</v>
      </c>
      <c r="D16" s="2">
        <v>95</v>
      </c>
      <c r="E16" t="s">
        <v>75</v>
      </c>
      <c r="F16" s="2" t="s">
        <v>10</v>
      </c>
      <c r="G16" s="2" t="s">
        <v>11</v>
      </c>
      <c r="H16" t="s">
        <v>18</v>
      </c>
      <c r="I16" s="2" t="s">
        <v>19</v>
      </c>
      <c r="J16" s="2" t="s">
        <v>20</v>
      </c>
      <c r="K16" s="3" t="s">
        <v>73</v>
      </c>
      <c r="L16" s="2" t="s">
        <v>19</v>
      </c>
      <c r="M16" s="2" t="s">
        <v>20</v>
      </c>
      <c r="N16" t="s">
        <v>68</v>
      </c>
      <c r="O16" t="s">
        <v>21</v>
      </c>
    </row>
    <row r="17" spans="1:15" x14ac:dyDescent="0.2">
      <c r="A17" s="12">
        <v>30</v>
      </c>
      <c r="B17" s="20">
        <v>46223</v>
      </c>
      <c r="C17" s="12" t="s">
        <v>80</v>
      </c>
      <c r="D17" s="13">
        <v>135</v>
      </c>
      <c r="E17" s="12" t="s">
        <v>17</v>
      </c>
      <c r="F17" s="13" t="s">
        <v>10</v>
      </c>
      <c r="G17" s="13" t="s">
        <v>11</v>
      </c>
      <c r="H17" s="12" t="s">
        <v>18</v>
      </c>
      <c r="I17" s="13" t="s">
        <v>19</v>
      </c>
      <c r="J17" s="13" t="s">
        <v>20</v>
      </c>
      <c r="K17" s="12" t="s">
        <v>65</v>
      </c>
      <c r="L17" s="13" t="s">
        <v>10</v>
      </c>
      <c r="M17" s="13" t="s">
        <v>11</v>
      </c>
      <c r="N17" s="12" t="s">
        <v>68</v>
      </c>
      <c r="O17" s="12" t="s">
        <v>21</v>
      </c>
    </row>
    <row r="18" spans="1:15" x14ac:dyDescent="0.2">
      <c r="A18" s="12">
        <v>31</v>
      </c>
      <c r="B18" s="20">
        <v>46230</v>
      </c>
      <c r="C18" s="12" t="s">
        <v>80</v>
      </c>
      <c r="D18" s="13">
        <v>140</v>
      </c>
      <c r="E18" s="12" t="s">
        <v>17</v>
      </c>
      <c r="F18" s="13" t="s">
        <v>10</v>
      </c>
      <c r="G18" s="13" t="s">
        <v>11</v>
      </c>
      <c r="H18" s="12" t="s">
        <v>18</v>
      </c>
      <c r="I18" s="13" t="s">
        <v>19</v>
      </c>
      <c r="J18" s="13" t="s">
        <v>20</v>
      </c>
      <c r="K18" s="12" t="s">
        <v>65</v>
      </c>
      <c r="L18" s="13" t="s">
        <v>10</v>
      </c>
      <c r="M18" s="13" t="s">
        <v>11</v>
      </c>
      <c r="N18" s="12" t="s">
        <v>67</v>
      </c>
      <c r="O18" s="12" t="s">
        <v>21</v>
      </c>
    </row>
    <row r="19" spans="1:15" x14ac:dyDescent="0.2">
      <c r="A19" s="12">
        <v>32</v>
      </c>
      <c r="B19" s="20">
        <v>46237</v>
      </c>
      <c r="C19" s="12" t="s">
        <v>80</v>
      </c>
      <c r="D19" s="13">
        <v>150</v>
      </c>
      <c r="E19" s="12" t="s">
        <v>14</v>
      </c>
      <c r="F19" s="13" t="s">
        <v>7</v>
      </c>
      <c r="G19" s="13" t="s">
        <v>8</v>
      </c>
      <c r="H19" s="12" t="s">
        <v>13</v>
      </c>
      <c r="I19" s="13" t="s">
        <v>10</v>
      </c>
      <c r="J19" s="13" t="s">
        <v>11</v>
      </c>
      <c r="K19" s="12" t="s">
        <v>64</v>
      </c>
      <c r="L19" s="13" t="s">
        <v>10</v>
      </c>
      <c r="M19" s="13" t="s">
        <v>11</v>
      </c>
      <c r="N19" s="12" t="s">
        <v>68</v>
      </c>
      <c r="O19" s="12"/>
    </row>
    <row r="20" spans="1:15" x14ac:dyDescent="0.2">
      <c r="A20">
        <v>33</v>
      </c>
      <c r="B20" s="17">
        <v>46244</v>
      </c>
      <c r="C20" t="s">
        <v>71</v>
      </c>
      <c r="D20" s="2">
        <v>110</v>
      </c>
      <c r="E20" t="s">
        <v>75</v>
      </c>
      <c r="F20" s="2" t="s">
        <v>10</v>
      </c>
      <c r="G20" s="2" t="s">
        <v>8</v>
      </c>
      <c r="H20" t="s">
        <v>72</v>
      </c>
      <c r="I20" s="2" t="s">
        <v>10</v>
      </c>
      <c r="J20" s="2" t="s">
        <v>11</v>
      </c>
      <c r="K20" s="3" t="s">
        <v>73</v>
      </c>
      <c r="L20" s="2" t="s">
        <v>19</v>
      </c>
      <c r="M20" s="2" t="s">
        <v>20</v>
      </c>
      <c r="N20" t="s">
        <v>68</v>
      </c>
    </row>
    <row r="21" spans="1:15" x14ac:dyDescent="0.2">
      <c r="A21" s="14">
        <v>34</v>
      </c>
      <c r="B21" s="21">
        <v>46251</v>
      </c>
      <c r="C21" s="14" t="s">
        <v>28</v>
      </c>
      <c r="D21" s="15">
        <v>90</v>
      </c>
      <c r="E21" s="14" t="s">
        <v>31</v>
      </c>
      <c r="F21" s="15" t="s">
        <v>7</v>
      </c>
      <c r="G21" s="15" t="s">
        <v>8</v>
      </c>
      <c r="H21" s="14" t="s">
        <v>30</v>
      </c>
      <c r="I21" s="15" t="s">
        <v>19</v>
      </c>
      <c r="J21" s="15" t="s">
        <v>20</v>
      </c>
      <c r="K21" s="14" t="s">
        <v>63</v>
      </c>
      <c r="L21" s="15" t="s">
        <v>10</v>
      </c>
      <c r="M21" s="15" t="s">
        <v>11</v>
      </c>
      <c r="N21" s="14" t="s">
        <v>68</v>
      </c>
      <c r="O21" s="14"/>
    </row>
    <row r="22" spans="1:15" x14ac:dyDescent="0.2">
      <c r="A22" s="14">
        <v>35</v>
      </c>
      <c r="B22" s="21">
        <v>46258</v>
      </c>
      <c r="C22" s="14" t="s">
        <v>28</v>
      </c>
      <c r="D22" s="15">
        <v>70</v>
      </c>
      <c r="E22" s="14" t="s">
        <v>29</v>
      </c>
      <c r="F22" s="15" t="s">
        <v>7</v>
      </c>
      <c r="G22" s="15" t="s">
        <v>8</v>
      </c>
      <c r="H22" s="14" t="s">
        <v>24</v>
      </c>
      <c r="I22" s="15" t="s">
        <v>19</v>
      </c>
      <c r="J22" s="15" t="s">
        <v>20</v>
      </c>
      <c r="K22" s="14" t="s">
        <v>74</v>
      </c>
      <c r="L22" s="15" t="s">
        <v>10</v>
      </c>
      <c r="M22" s="15" t="s">
        <v>11</v>
      </c>
      <c r="N22" s="14" t="s">
        <v>68</v>
      </c>
      <c r="O22" s="14"/>
    </row>
    <row r="23" spans="1:15" x14ac:dyDescent="0.2">
      <c r="A23" s="14">
        <v>36</v>
      </c>
      <c r="B23" s="21">
        <v>46265</v>
      </c>
      <c r="C23" s="14" t="s">
        <v>28</v>
      </c>
      <c r="D23" s="15">
        <v>50</v>
      </c>
      <c r="E23" s="14" t="s">
        <v>27</v>
      </c>
      <c r="F23" s="15" t="s">
        <v>19</v>
      </c>
      <c r="G23" s="15" t="s">
        <v>20</v>
      </c>
      <c r="H23" s="14" t="s">
        <v>23</v>
      </c>
      <c r="I23" s="15" t="s">
        <v>7</v>
      </c>
      <c r="J23" s="15" t="s">
        <v>8</v>
      </c>
      <c r="K23" s="14" t="s">
        <v>26</v>
      </c>
      <c r="L23" s="15" t="s">
        <v>19</v>
      </c>
      <c r="M23" s="15" t="s">
        <v>20</v>
      </c>
      <c r="N23" s="14" t="s">
        <v>68</v>
      </c>
      <c r="O23" s="14"/>
    </row>
    <row r="24" spans="1:15" x14ac:dyDescent="0.2">
      <c r="A24">
        <v>37</v>
      </c>
      <c r="B24" s="17">
        <v>46272</v>
      </c>
      <c r="C24" t="s">
        <v>25</v>
      </c>
      <c r="D24" s="2">
        <v>30</v>
      </c>
      <c r="E24" t="s">
        <v>24</v>
      </c>
      <c r="F24" s="2" t="s">
        <v>19</v>
      </c>
      <c r="G24" s="2" t="s">
        <v>20</v>
      </c>
      <c r="H24" t="s">
        <v>23</v>
      </c>
      <c r="I24" s="2" t="s">
        <v>7</v>
      </c>
      <c r="J24" s="2" t="s">
        <v>8</v>
      </c>
      <c r="K24" t="s">
        <v>22</v>
      </c>
      <c r="L24" s="2" t="s">
        <v>10</v>
      </c>
      <c r="M24" s="2" t="s">
        <v>20</v>
      </c>
      <c r="N24"/>
    </row>
    <row r="25" spans="1:15" x14ac:dyDescent="0.2">
      <c r="B25" s="1"/>
    </row>
    <row r="31" spans="1:15" x14ac:dyDescent="0.2">
      <c r="I31"/>
    </row>
    <row r="32" spans="1:15" x14ac:dyDescent="0.2">
      <c r="I32"/>
    </row>
    <row r="33" spans="9:9" x14ac:dyDescent="0.2">
      <c r="I33"/>
    </row>
    <row r="34" spans="9:9" x14ac:dyDescent="0.2">
      <c r="I34"/>
    </row>
    <row r="35" spans="9:9" x14ac:dyDescent="0.2">
      <c r="I35"/>
    </row>
    <row r="36" spans="9:9" x14ac:dyDescent="0.2">
      <c r="I3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ACA1-AEAF-0543-B4E8-ABA117A45B7C}">
  <dimension ref="A1:K32"/>
  <sheetViews>
    <sheetView tabSelected="1" zoomScale="140" zoomScaleNormal="140" workbookViewId="0">
      <selection activeCell="C25" sqref="C25"/>
    </sheetView>
  </sheetViews>
  <sheetFormatPr baseColWidth="10" defaultColWidth="8.83203125" defaultRowHeight="15" x14ac:dyDescent="0.2"/>
  <cols>
    <col min="1" max="3" width="18" customWidth="1"/>
    <col min="4" max="5" width="10.1640625" customWidth="1"/>
    <col min="6" max="6" width="9.83203125" customWidth="1"/>
    <col min="7" max="8" width="18" customWidth="1"/>
  </cols>
  <sheetData>
    <row r="1" spans="1:8" x14ac:dyDescent="0.2">
      <c r="A1" s="4" t="s">
        <v>84</v>
      </c>
      <c r="B1" s="4" t="s">
        <v>85</v>
      </c>
      <c r="C1" s="4" t="s">
        <v>86</v>
      </c>
      <c r="D1" s="4" t="s">
        <v>87</v>
      </c>
      <c r="E1" s="5" t="s">
        <v>106</v>
      </c>
      <c r="F1" s="5" t="s">
        <v>107</v>
      </c>
      <c r="G1" s="4" t="s">
        <v>88</v>
      </c>
      <c r="H1" s="4" t="s">
        <v>89</v>
      </c>
    </row>
    <row r="2" spans="1:8" x14ac:dyDescent="0.2">
      <c r="A2" t="s">
        <v>90</v>
      </c>
      <c r="B2">
        <v>12</v>
      </c>
      <c r="C2">
        <v>15.2</v>
      </c>
      <c r="D2" t="s">
        <v>101</v>
      </c>
      <c r="E2" s="2" t="s">
        <v>109</v>
      </c>
      <c r="F2" s="2"/>
      <c r="H2">
        <f>'Generelle plan'!D7</f>
        <v>135</v>
      </c>
    </row>
    <row r="3" spans="1:8" x14ac:dyDescent="0.2">
      <c r="A3" t="s">
        <v>91</v>
      </c>
      <c r="B3">
        <v>15</v>
      </c>
      <c r="C3">
        <v>19.3</v>
      </c>
      <c r="D3" t="s">
        <v>110</v>
      </c>
      <c r="E3" s="2"/>
      <c r="F3" s="2" t="s">
        <v>109</v>
      </c>
    </row>
    <row r="4" spans="1:8" x14ac:dyDescent="0.2">
      <c r="A4" t="s">
        <v>92</v>
      </c>
      <c r="B4">
        <v>10</v>
      </c>
      <c r="C4">
        <v>7.2</v>
      </c>
      <c r="D4" t="s">
        <v>110</v>
      </c>
      <c r="E4" s="2" t="s">
        <v>109</v>
      </c>
      <c r="H4" t="s">
        <v>108</v>
      </c>
    </row>
    <row r="5" spans="1:8" x14ac:dyDescent="0.2">
      <c r="A5" t="s">
        <v>93</v>
      </c>
      <c r="B5">
        <v>24</v>
      </c>
      <c r="C5">
        <v>27.66</v>
      </c>
      <c r="D5" t="s">
        <v>102</v>
      </c>
      <c r="E5" s="2"/>
      <c r="F5" s="2"/>
      <c r="H5">
        <f>SUM(SUMIF(D2:D8,{"Key1","Key2","Long","B2B"},B2:B8))</f>
        <v>101</v>
      </c>
    </row>
    <row r="6" spans="1:8" x14ac:dyDescent="0.2">
      <c r="A6" t="s">
        <v>94</v>
      </c>
      <c r="B6">
        <v>10</v>
      </c>
      <c r="C6">
        <v>12.5</v>
      </c>
      <c r="D6" t="s">
        <v>110</v>
      </c>
      <c r="E6" s="2"/>
      <c r="F6" s="2" t="s">
        <v>109</v>
      </c>
    </row>
    <row r="7" spans="1:8" x14ac:dyDescent="0.2">
      <c r="A7" t="s">
        <v>95</v>
      </c>
      <c r="B7">
        <v>40</v>
      </c>
      <c r="D7" t="s">
        <v>119</v>
      </c>
      <c r="F7" s="2"/>
      <c r="H7" t="s">
        <v>96</v>
      </c>
    </row>
    <row r="8" spans="1:8" x14ac:dyDescent="0.2">
      <c r="A8" t="s">
        <v>97</v>
      </c>
      <c r="B8">
        <v>25</v>
      </c>
      <c r="D8" t="s">
        <v>119</v>
      </c>
      <c r="E8" s="2"/>
      <c r="H8">
        <f>H2-H5</f>
        <v>34</v>
      </c>
    </row>
    <row r="10" spans="1:8" x14ac:dyDescent="0.2">
      <c r="H10" t="s">
        <v>98</v>
      </c>
    </row>
    <row r="11" spans="1:8" x14ac:dyDescent="0.2">
      <c r="H11">
        <f>SUM(B2:B8)</f>
        <v>136</v>
      </c>
    </row>
    <row r="13" spans="1:8" x14ac:dyDescent="0.2">
      <c r="H13" t="s">
        <v>99</v>
      </c>
    </row>
    <row r="14" spans="1:8" x14ac:dyDescent="0.2">
      <c r="H14">
        <f>SUM(C2:C8)</f>
        <v>81.86</v>
      </c>
    </row>
    <row r="16" spans="1:8" x14ac:dyDescent="0.2">
      <c r="H16" t="s">
        <v>103</v>
      </c>
    </row>
    <row r="17" spans="2:11" x14ac:dyDescent="0.2">
      <c r="H17" t="str">
        <f>IF(H11&gt;H2+10,"⚠️ Overload",IF(H11&lt;H2-15,"⚠️ For lav volumen","OK"))</f>
        <v>OK</v>
      </c>
    </row>
    <row r="19" spans="2:11" x14ac:dyDescent="0.2">
      <c r="H19" t="s">
        <v>104</v>
      </c>
    </row>
    <row r="20" spans="2:11" x14ac:dyDescent="0.2">
      <c r="H20">
        <f>COUNTIF(E2:E8,"Ja")</f>
        <v>2</v>
      </c>
    </row>
    <row r="22" spans="2:11" x14ac:dyDescent="0.2">
      <c r="H22" t="s">
        <v>105</v>
      </c>
    </row>
    <row r="23" spans="2:11" x14ac:dyDescent="0.2">
      <c r="H23">
        <f>COUNTIF(F2:F7,"Ja")</f>
        <v>2</v>
      </c>
    </row>
    <row r="32" spans="2:11" x14ac:dyDescent="0.2">
      <c r="B32" s="6"/>
      <c r="C32" s="7"/>
      <c r="D32" s="7"/>
      <c r="E32" s="6"/>
      <c r="F32" s="7"/>
      <c r="G32" s="7"/>
      <c r="H32" s="6"/>
      <c r="I32" s="7"/>
      <c r="J32" s="7"/>
      <c r="K3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AF96-1551-A741-AB0A-EC1D8F9ABE69}">
  <dimension ref="D2:G14"/>
  <sheetViews>
    <sheetView zoomScale="125" workbookViewId="0">
      <selection activeCell="D3" sqref="D3"/>
    </sheetView>
  </sheetViews>
  <sheetFormatPr baseColWidth="10" defaultRowHeight="15" x14ac:dyDescent="0.2"/>
  <cols>
    <col min="4" max="4" width="26.1640625" customWidth="1"/>
  </cols>
  <sheetData>
    <row r="2" spans="4:7" x14ac:dyDescent="0.2">
      <c r="D2" t="s">
        <v>32</v>
      </c>
      <c r="E2" t="s">
        <v>33</v>
      </c>
      <c r="F2" t="s">
        <v>34</v>
      </c>
      <c r="G2" t="s">
        <v>35</v>
      </c>
    </row>
    <row r="3" spans="4:7" x14ac:dyDescent="0.2">
      <c r="D3" t="s">
        <v>36</v>
      </c>
      <c r="E3" t="s">
        <v>37</v>
      </c>
      <c r="F3" t="s">
        <v>38</v>
      </c>
      <c r="G3" t="s">
        <v>82</v>
      </c>
    </row>
    <row r="4" spans="4:7" x14ac:dyDescent="0.2">
      <c r="D4" t="s">
        <v>39</v>
      </c>
      <c r="E4" t="s">
        <v>37</v>
      </c>
      <c r="F4" t="s">
        <v>40</v>
      </c>
      <c r="G4" t="s">
        <v>81</v>
      </c>
    </row>
    <row r="5" spans="4:7" x14ac:dyDescent="0.2">
      <c r="D5" t="s">
        <v>41</v>
      </c>
      <c r="E5" t="s">
        <v>37</v>
      </c>
      <c r="F5" t="s">
        <v>42</v>
      </c>
      <c r="G5" t="s">
        <v>43</v>
      </c>
    </row>
    <row r="6" spans="4:7" x14ac:dyDescent="0.2">
      <c r="D6" t="s">
        <v>44</v>
      </c>
      <c r="E6" t="s">
        <v>37</v>
      </c>
      <c r="F6" t="s">
        <v>45</v>
      </c>
      <c r="G6" t="s">
        <v>46</v>
      </c>
    </row>
    <row r="7" spans="4:7" x14ac:dyDescent="0.2">
      <c r="D7" t="s">
        <v>47</v>
      </c>
      <c r="E7" t="s">
        <v>37</v>
      </c>
      <c r="F7" t="s">
        <v>48</v>
      </c>
      <c r="G7" t="s">
        <v>83</v>
      </c>
    </row>
    <row r="9" spans="4:7" x14ac:dyDescent="0.2">
      <c r="D9" t="s">
        <v>32</v>
      </c>
      <c r="E9" t="s">
        <v>49</v>
      </c>
      <c r="F9" t="s">
        <v>50</v>
      </c>
    </row>
    <row r="10" spans="4:7" x14ac:dyDescent="0.2">
      <c r="D10" t="s">
        <v>51</v>
      </c>
      <c r="E10" t="s">
        <v>52</v>
      </c>
      <c r="F10" t="s">
        <v>53</v>
      </c>
    </row>
    <row r="11" spans="4:7" x14ac:dyDescent="0.2">
      <c r="D11" t="s">
        <v>54</v>
      </c>
      <c r="E11" t="s">
        <v>52</v>
      </c>
      <c r="F11" t="s">
        <v>55</v>
      </c>
    </row>
    <row r="12" spans="4:7" x14ac:dyDescent="0.2">
      <c r="D12" t="s">
        <v>56</v>
      </c>
      <c r="E12" t="s">
        <v>52</v>
      </c>
      <c r="F12" t="s">
        <v>57</v>
      </c>
    </row>
    <row r="13" spans="4:7" x14ac:dyDescent="0.2">
      <c r="D13" t="s">
        <v>58</v>
      </c>
      <c r="E13" t="s">
        <v>52</v>
      </c>
      <c r="F13" t="s">
        <v>59</v>
      </c>
    </row>
    <row r="14" spans="4:7" x14ac:dyDescent="0.2">
      <c r="D14" t="s">
        <v>60</v>
      </c>
      <c r="E14" t="s">
        <v>61</v>
      </c>
      <c r="F14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Generelle plan</vt:lpstr>
      <vt:lpstr>Ugeplan</vt:lpstr>
      <vt:lpstr>noter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Palle Duun Rohde</cp:lastModifiedBy>
  <dcterms:created xsi:type="dcterms:W3CDTF">2026-04-03T10:10:40Z</dcterms:created>
  <dcterms:modified xsi:type="dcterms:W3CDTF">2026-05-15T07:18:19Z</dcterms:modified>
</cp:coreProperties>
</file>