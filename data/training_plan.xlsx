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EC00E7E1-CDB1-424D-BC8F-F6F8AA82BC5F}" xr6:coauthVersionLast="47" xr6:coauthVersionMax="47" xr10:uidLastSave="{00000000-0000-0000-0000-000000000000}"/>
  <bookViews>
    <workbookView xWindow="0" yWindow="780" windowWidth="41120" windowHeight="25800" activeTab="1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23" i="2"/>
  <c r="H20" i="2"/>
  <c r="H14" i="2"/>
  <c r="H11" i="2"/>
  <c r="H5" i="2"/>
  <c r="H17" i="2" l="1"/>
  <c r="H8" i="2"/>
</calcChain>
</file>

<file path=xl/sharedStrings.xml><?xml version="1.0" encoding="utf-8"?>
<sst xmlns="http://schemas.openxmlformats.org/spreadsheetml/2006/main" count="347" uniqueCount="119">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</sst>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140" zoomScaleNormal="140" workbookViewId="0">
      <selection activeCell="B18" sqref="B18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H23"/>
  <sheetViews>
    <sheetView tabSelected="1" zoomScale="140" zoomScaleNormal="140" workbookViewId="0">
      <selection activeCell="C5" sqref="C5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15</v>
      </c>
      <c r="C2">
        <v>15.3</v>
      </c>
      <c r="D2" t="s">
        <v>110</v>
      </c>
      <c r="E2" s="2" t="s">
        <v>109</v>
      </c>
      <c r="F2" s="2"/>
      <c r="H2">
        <f>'Generelle plan'!D2</f>
        <v>120</v>
      </c>
    </row>
    <row r="3" spans="1:8" x14ac:dyDescent="0.2">
      <c r="A3" t="s">
        <v>91</v>
      </c>
      <c r="B3">
        <v>20</v>
      </c>
      <c r="C3">
        <v>22.94</v>
      </c>
      <c r="D3" t="s">
        <v>101</v>
      </c>
      <c r="E3" s="2"/>
      <c r="F3" s="2"/>
    </row>
    <row r="4" spans="1:8" x14ac:dyDescent="0.2">
      <c r="A4" t="s">
        <v>92</v>
      </c>
      <c r="B4">
        <v>12</v>
      </c>
      <c r="C4">
        <v>13.1</v>
      </c>
      <c r="D4" t="s">
        <v>110</v>
      </c>
      <c r="E4" s="2"/>
      <c r="F4" s="2" t="s">
        <v>109</v>
      </c>
      <c r="H4" t="s">
        <v>108</v>
      </c>
    </row>
    <row r="5" spans="1:8" x14ac:dyDescent="0.2">
      <c r="A5" t="s">
        <v>93</v>
      </c>
      <c r="B5">
        <v>16</v>
      </c>
      <c r="D5" t="s">
        <v>102</v>
      </c>
      <c r="E5" s="2"/>
      <c r="F5" s="2"/>
      <c r="H5">
        <f>SUM(SUMIF(D2:D8,{"Key1","Key2","Long","B2B"},B2:B8))</f>
        <v>66</v>
      </c>
    </row>
    <row r="6" spans="1:8" x14ac:dyDescent="0.2">
      <c r="A6" t="s">
        <v>94</v>
      </c>
      <c r="B6">
        <v>12</v>
      </c>
      <c r="D6" t="s">
        <v>110</v>
      </c>
      <c r="E6" s="2"/>
      <c r="F6" s="2"/>
    </row>
    <row r="7" spans="1:8" x14ac:dyDescent="0.2">
      <c r="A7" t="s">
        <v>95</v>
      </c>
      <c r="B7">
        <v>30</v>
      </c>
      <c r="D7" t="s">
        <v>100</v>
      </c>
      <c r="E7" s="2" t="s">
        <v>109</v>
      </c>
      <c r="F7" s="2"/>
      <c r="H7" t="s">
        <v>96</v>
      </c>
    </row>
    <row r="8" spans="1:8" x14ac:dyDescent="0.2">
      <c r="A8" t="s">
        <v>97</v>
      </c>
      <c r="B8">
        <v>15</v>
      </c>
      <c r="D8" t="s">
        <v>110</v>
      </c>
      <c r="E8" s="2"/>
      <c r="F8" s="2" t="s">
        <v>109</v>
      </c>
      <c r="H8">
        <f>H2-H5</f>
        <v>54</v>
      </c>
    </row>
    <row r="10" spans="1:8" x14ac:dyDescent="0.2">
      <c r="H10" t="s">
        <v>98</v>
      </c>
    </row>
    <row r="11" spans="1:8" x14ac:dyDescent="0.2">
      <c r="H11">
        <f>SUM(B2:B8)</f>
        <v>120</v>
      </c>
    </row>
    <row r="13" spans="1:8" x14ac:dyDescent="0.2">
      <c r="H13" t="s">
        <v>99</v>
      </c>
    </row>
    <row r="14" spans="1:8" x14ac:dyDescent="0.2">
      <c r="H14">
        <f>SUM(C2:C8)</f>
        <v>51.34</v>
      </c>
    </row>
    <row r="16" spans="1:8" x14ac:dyDescent="0.2">
      <c r="H16" t="s">
        <v>103</v>
      </c>
    </row>
    <row r="17" spans="8:8" x14ac:dyDescent="0.2">
      <c r="H17" t="str">
        <f>IF(H11&gt;H2+10,"⚠️ Overload",IF(H11&lt;H2-15,"⚠️ For lav volumen","OK"))</f>
        <v>OK</v>
      </c>
    </row>
    <row r="19" spans="8:8" x14ac:dyDescent="0.2">
      <c r="H19" t="s">
        <v>104</v>
      </c>
    </row>
    <row r="20" spans="8:8" x14ac:dyDescent="0.2">
      <c r="H20">
        <f>COUNTIF(E2:E8,"Ja")</f>
        <v>2</v>
      </c>
    </row>
    <row r="22" spans="8:8" x14ac:dyDescent="0.2">
      <c r="H22" t="s">
        <v>105</v>
      </c>
    </row>
    <row r="23" spans="8:8" x14ac:dyDescent="0.2">
      <c r="H23">
        <f>COUNTIF(F2:F8,"Ja")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zoomScale="125" workbookViewId="0">
      <selection activeCell="D3" sqref="D3"/>
    </sheetView>
  </sheetViews>
  <sheetFormatPr baseColWidth="10" defaultRowHeight="15" x14ac:dyDescent="0.2"/>
  <cols>
    <col min="4" max="4" width="26.1640625" customWidth="1"/>
  </cols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2026-04-08T16:53:32Z</dcterms:modified>
</cp:coreProperties>
</file>