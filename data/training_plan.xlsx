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06A9C144-3537-C640-9B2A-4DD220740ED4}" xr6:coauthVersionLast="47" xr6:coauthVersionMax="47" xr10:uidLastSave="{00000000-0000-0000-0000-000000000000}"/>
  <bookViews>
    <workbookView xWindow="5040" yWindow="180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  <c r="H2" i="2"/>
  <c r="H23" i="2"/>
  <c r="H20" i="2"/>
  <c r="H14" i="2"/>
  <c r="H5" i="2"/>
  <c r="H17" i="2" l="1"/>
  <c r="H8" i="2"/>
</calcChain>
</file>

<file path=xl/sharedStrings.xml><?xml version="1.0" encoding="utf-8"?>
<sst xmlns="http://schemas.openxmlformats.org/spreadsheetml/2006/main" count="352" uniqueCount="120">
  <si>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</si>
  <si>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</si>
  <si>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</si>
  <si>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</si>
  <si>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</si>
  <si>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</si>
  <si>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</si>
  <si>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</si>
  <si>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</si>
  <si>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</si>
  <si>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</si>
  <si>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</si>
  <si>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</si>
  <si>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</si>
  <si>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</si>
  <si>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</si>
  <si>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</si>
  <si>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</si>
  <si>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</si>
  <si>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</si>
  <si>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</si>
  <si>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</si>
  <si>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</si>
  <si>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</si>
  <si>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</si>
  <si>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</si>
  <si>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</si>
  <si>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</si>
  <si>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</si>
  <si>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</si>
  <si>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</si>
  <si>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</si>
  <si>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</si>
  <si>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</si>
  <si>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</si>
  <si>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</si>
  <si>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</si>
  <si>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</si>
  <si>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</si>
  <si>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</si>
  <si>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</si>
  <si>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</si>
  <si>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</si>
  <si>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</si>
  <si>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</si>
  <si>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</si>
  <si>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</si>
  <si>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</si>
  <si>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</si>
  <si>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</si>
  <si>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</si>
  <si>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</si>
  <si>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</si>
  <si>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</si>
  <si>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</si>
  <si>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</si>
  <si>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</si>
  <si>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</si>
  <si>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</si>
  <si>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</si>
  <si>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</si>
  <si>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</si>
  <si>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</si>
  <si>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</si>
  <si>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</si>
  <si>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</si>
  <si>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</si>
  <si>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</si>
  <si>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</si>
  <si>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</si>
  <si>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</si>
  <si>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</si>
  <si>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</si>
  <si>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</si>
  <si>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</si>
  <si>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</si>
  <si>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</si>
  <si>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</si>
  <si>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</si>
  <si>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</si>
  <si>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</si>
  <si>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</si>
  <si>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</si>
  <si>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</si>
  <si>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</si>
  <si>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</si>
  <si>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</si>
  <si>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</si>
  <si>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</si>
  <si>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</si>
  <si>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</si>
  <si>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</si>
  <si>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</si>
  <si>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</si>
  <si>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</si>
  <si>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</si>
  <si>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</si>
  <si>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</si>
  <si>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</si>
  <si>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</si>
  <si>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</si>
  <si>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</si>
  <si>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</si>
  <si>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</si>
  <si>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</si>
  <si>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</si>
  <si>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</si>
  <si>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</si>
  <si>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</si>
  <si>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</si>
  <si>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</si>
  <si>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</si>
  <si>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</si>
  <si>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</si>
  <si>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</si>
  <si>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</si>
  <si>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</si>
  <si>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</si>
  <si>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</si>
  <si>
    <t>B2B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</si>
</sst>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D7" sqref="D7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K32"/>
  <sheetViews>
    <sheetView tabSelected="1" zoomScale="140" zoomScaleNormal="140" workbookViewId="0">
      <selection activeCell="B3" sqref="B3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12</v>
      </c>
      <c r="C2">
        <v>15.2</v>
      </c>
      <c r="D2" t="s">
        <v>101</v>
      </c>
      <c r="E2" s="2" t="s">
        <v>109</v>
      </c>
      <c r="F2" s="2"/>
      <c r="H2">
        <f>'Generelle plan'!D7</f>
        <v>135</v>
      </c>
    </row>
    <row r="3" spans="1:8" x14ac:dyDescent="0.2">
      <c r="A3" t="s">
        <v>91</v>
      </c>
      <c r="B3">
        <v>15</v>
      </c>
      <c r="C3">
        <v>19.3</v>
      </c>
      <c r="D3" t="s">
        <v>110</v>
      </c>
      <c r="E3" s="2"/>
      <c r="F3" s="2"/>
    </row>
    <row r="4" spans="1:8" x14ac:dyDescent="0.2">
      <c r="A4" t="s">
        <v>92</v>
      </c>
      <c r="B4">
        <v>10</v>
      </c>
      <c r="C4">
        <v>7.2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24</v>
      </c>
      <c r="C5">
        <v>27.66</v>
      </c>
      <c r="D5" t="s">
        <v>102</v>
      </c>
      <c r="E5" s="2"/>
      <c r="F5" s="2"/>
      <c r="H5">
        <f>SUM(SUMIF(D2:D8,{"Key1","Key2","Long","B2B"},B2:B8))</f>
        <v>101</v>
      </c>
    </row>
    <row r="6" spans="1:8" x14ac:dyDescent="0.2">
      <c r="A6" t="s">
        <v>94</v>
      </c>
      <c r="B6">
        <v>10</v>
      </c>
      <c r="C6">
        <v>12.5</v>
      </c>
      <c r="D6" t="s">
        <v>110</v>
      </c>
      <c r="E6" s="2"/>
      <c r="F6" s="2"/>
    </row>
    <row r="7" spans="1:8" x14ac:dyDescent="0.2">
      <c r="A7" t="s">
        <v>95</v>
      </c>
      <c r="B7">
        <v>40</v>
      </c>
      <c r="D7" t="s">
        <v>119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25</v>
      </c>
      <c r="D8" t="s">
        <v>119</v>
      </c>
      <c r="E8" s="2"/>
      <c r="F8" s="2" t="s">
        <v>109</v>
      </c>
      <c r="H8">
        <f>H2-H5</f>
        <v>34</v>
      </c>
    </row>
    <row r="10" spans="1:8" x14ac:dyDescent="0.2">
      <c r="H10" t="s">
        <v>98</v>
      </c>
    </row>
    <row r="11" spans="1:8" x14ac:dyDescent="0.2">
      <c r="H11">
        <f>SUM(B2:B8)</f>
        <v>136</v>
      </c>
    </row>
    <row r="13" spans="1:8" x14ac:dyDescent="0.2">
      <c r="H13" t="s">
        <v>99</v>
      </c>
    </row>
    <row r="14" spans="1:8" x14ac:dyDescent="0.2">
      <c r="H14">
        <f>SUM(C2:C8)</f>
        <v>81.86</v>
      </c>
    </row>
    <row r="16" spans="1:8" x14ac:dyDescent="0.2">
      <c r="H16" t="s">
        <v>103</v>
      </c>
    </row>
    <row r="17" spans="2:11" x14ac:dyDescent="0.2">
      <c r="H17" t="str">
        <f>IF(H11&gt;H2+10,"⚠️ Overload",IF(H11&lt;H2-15,"⚠️ For lav volumen","OK"))</f>
        <v>OK</v>
      </c>
    </row>
    <row r="19" spans="2:11" x14ac:dyDescent="0.2">
      <c r="H19" t="s">
        <v>104</v>
      </c>
    </row>
    <row r="20" spans="2:11" x14ac:dyDescent="0.2">
      <c r="H20">
        <f>COUNTIF(E2:E8,"Ja")</f>
        <v>2</v>
      </c>
    </row>
    <row r="22" spans="2:11" x14ac:dyDescent="0.2">
      <c r="H22" t="s">
        <v>105</v>
      </c>
    </row>
    <row r="23" spans="2:11" x14ac:dyDescent="0.2">
      <c r="H23">
        <f>COUNTIF(F2:F8,"Ja")</f>
        <v>2</v>
      </c>
    </row>
    <row r="32" spans="2:11" x14ac:dyDescent="0.2">
      <c r="B32" s="6" t="s">
        <v>14</v>
      </c>
      <c r="C32" s="7" t="s">
        <v>7</v>
      </c>
      <c r="D32" s="7" t="s">
        <v>8</v>
      </c>
      <c r="E32" s="6" t="s">
        <v>13</v>
      </c>
      <c r="F32" s="7" t="s">
        <v>10</v>
      </c>
      <c r="G32" s="7"/>
      <c r="H32" s="6"/>
      <c r="I32" s="7"/>
      <c r="J32" s="7"/>
      <c r="K32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zoomScale="125" workbookViewId="0">
      <selection activeCell="D3" sqref="D3"/>
    </sheetView>
  </sheetViews>
  <sheetFormatPr baseColWidth="10" defaultRowHeight="15" x14ac:dyDescent="0.2"/>
  <cols>
    <col min="4" max="4" width="26.1640625" customWidth="1"/>
  </cols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2026-05-15T07:14:23Z</dcterms:modified>
</cp:coreProperties>
</file>